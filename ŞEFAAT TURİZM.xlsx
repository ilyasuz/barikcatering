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3974437df177db/Masaüstü/"/>
    </mc:Choice>
  </mc:AlternateContent>
  <xr:revisionPtr revIDLastSave="0" documentId="8_{A421247B-2816-1F4F-88B7-6DD8DBF59EC8}" xr6:coauthVersionLast="47" xr6:coauthVersionMax="47" xr10:uidLastSave="{00000000-0000-0000-0000-000000000000}"/>
  <bookViews>
    <workbookView xWindow="-120" yWindow="-120" windowWidth="29040" windowHeight="15720" xr2:uid="{92D1AE8D-4D2C-4CA2-84EA-6F554D71E565}"/>
  </bookViews>
  <sheets>
    <sheet name="ŞABL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J10" i="1"/>
  <c r="J9" i="1"/>
  <c r="M9" i="1"/>
  <c r="M13" i="1"/>
</calcChain>
</file>

<file path=xl/sharedStrings.xml><?xml version="1.0" encoding="utf-8"?>
<sst xmlns="http://schemas.openxmlformats.org/spreadsheetml/2006/main" count="49" uniqueCount="38">
  <si>
    <t>ŞİRKET ADI</t>
  </si>
  <si>
    <t>OTEL ADI</t>
  </si>
  <si>
    <t>GİRİŞ TARİHİ</t>
  </si>
  <si>
    <t>SABAH</t>
  </si>
  <si>
    <t>AKŞAM</t>
  </si>
  <si>
    <t>ÇIKIŞ TARİHİ</t>
  </si>
  <si>
    <t>KİŞİ SAYISI</t>
  </si>
  <si>
    <t>SABAH FİYAT</t>
  </si>
  <si>
    <t>AKŞAM FİYAT</t>
  </si>
  <si>
    <t>TOPLAM TUTAR</t>
  </si>
  <si>
    <t xml:space="preserve">          ↓</t>
  </si>
  <si>
    <t>↓</t>
  </si>
  <si>
    <t xml:space="preserve">      ↓</t>
  </si>
  <si>
    <t xml:space="preserve">   ↓</t>
  </si>
  <si>
    <t xml:space="preserve">        ↓</t>
  </si>
  <si>
    <t xml:space="preserve">       ↓</t>
  </si>
  <si>
    <t>المطبخ العثماني 2025 حاسبة الدخول والخروج لوكالة العمرة</t>
  </si>
  <si>
    <t>GÜN SAYISI</t>
  </si>
  <si>
    <t xml:space="preserve">    (   اسم الشركة  )</t>
  </si>
  <si>
    <t xml:space="preserve">  (   اسم الفندق  )</t>
  </si>
  <si>
    <t xml:space="preserve"> (تاريخ الدخول  )</t>
  </si>
  <si>
    <t>( صباح   )</t>
  </si>
  <si>
    <t>( مساء  )</t>
  </si>
  <si>
    <t>تاريخ الخروج</t>
  </si>
  <si>
    <t xml:space="preserve"> (عدد الأشخاص)</t>
  </si>
  <si>
    <t xml:space="preserve"> (عدد الأيام)</t>
  </si>
  <si>
    <t xml:space="preserve"> (سعر الصباح)</t>
  </si>
  <si>
    <t xml:space="preserve"> (سعر المساء)</t>
  </si>
  <si>
    <t xml:space="preserve">   (المبلغ الإجمالي   ) </t>
  </si>
  <si>
    <t xml:space="preserve">    ↓</t>
  </si>
  <si>
    <t>المجموع الإجمالي</t>
  </si>
  <si>
    <t xml:space="preserve">GENEL </t>
  </si>
  <si>
    <t xml:space="preserve">TOPLAM </t>
  </si>
  <si>
    <t>TOPLAM USD</t>
  </si>
  <si>
    <t xml:space="preserve">                                                   OSMANLI MUTFAĞI UMRE ACENTA GİRİŞ-ÇIKIŞ HESAP TABLOSU</t>
  </si>
  <si>
    <t>ŞEFAAT TURİZM</t>
  </si>
  <si>
    <t>OKŞH</t>
  </si>
  <si>
    <t>TAİT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</si>
</sst>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F]d\ mmmm\ yy;@"/>
    <numFmt numFmtId="165" formatCode="#,##0.00\ [$SAR]"/>
    <numFmt numFmtId="166" formatCode="[$USD]\ #,##0.00"/>
  </numFmts>
  <fonts count="27" x14ac:knownFonts="1">
    <font>
      <sz val="11"/>
      <color theme="1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color rgb="FFFF0000"/>
      <name val="Aptos Narrow"/>
      <family val="2"/>
      <charset val="162"/>
      <scheme val="minor"/>
    </font>
    <font>
      <b/>
      <sz val="11"/>
      <color rgb="FF002060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9C5700"/>
      <name val="Aptos Narrow"/>
      <family val="2"/>
      <scheme val="minor"/>
    </font>
    <font>
      <b/>
      <sz val="16"/>
      <color rgb="FF9C0006"/>
      <name val="Aptos Narrow"/>
      <family val="2"/>
      <scheme val="minor"/>
    </font>
    <font>
      <b/>
      <sz val="16"/>
      <color theme="1"/>
      <name val="Aptos Narrow"/>
      <family val="2"/>
      <charset val="162"/>
      <scheme val="minor"/>
    </font>
    <font>
      <b/>
      <i/>
      <sz val="11"/>
      <color theme="1"/>
      <name val="Aptos Narrow"/>
      <family val="2"/>
      <charset val="162"/>
      <scheme val="minor"/>
    </font>
    <font>
      <b/>
      <i/>
      <sz val="11"/>
      <color rgb="FFFF0000"/>
      <name val="Aptos Narrow"/>
      <family val="2"/>
      <charset val="162"/>
      <scheme val="minor"/>
    </font>
    <font>
      <b/>
      <i/>
      <sz val="11"/>
      <color rgb="FF006100"/>
      <name val="Aptos Narrow"/>
      <family val="2"/>
      <charset val="162"/>
      <scheme val="minor"/>
    </font>
    <font>
      <b/>
      <i/>
      <sz val="11"/>
      <name val="Aptos Narrow"/>
      <family val="2"/>
      <charset val="162"/>
      <scheme val="minor"/>
    </font>
    <font>
      <b/>
      <i/>
      <sz val="11"/>
      <color rgb="FF9C0006"/>
      <name val="Aptos Narrow"/>
      <family val="2"/>
      <scheme val="minor"/>
    </font>
    <font>
      <b/>
      <i/>
      <sz val="11"/>
      <color rgb="FF9C6500"/>
      <name val="Aptos Narrow"/>
      <family val="2"/>
      <charset val="162"/>
      <scheme val="minor"/>
    </font>
    <font>
      <b/>
      <i/>
      <sz val="11"/>
      <color rgb="FF9C0006"/>
      <name val="Aptos Narrow"/>
      <family val="2"/>
      <charset val="162"/>
      <scheme val="minor"/>
    </font>
    <font>
      <b/>
      <sz val="14"/>
      <color theme="1"/>
      <name val="Arial Tur"/>
      <charset val="162"/>
    </font>
    <font>
      <b/>
      <i/>
      <u/>
      <sz val="11"/>
      <color theme="1"/>
      <name val="Aptos Narrow"/>
      <family val="2"/>
      <charset val="162"/>
      <scheme val="minor"/>
    </font>
    <font>
      <b/>
      <sz val="12"/>
      <color theme="1" tint="4.9989318521683403E-2"/>
      <name val="Aptos Narrow"/>
      <family val="2"/>
      <charset val="162"/>
      <scheme val="minor"/>
    </font>
    <font>
      <b/>
      <i/>
      <u/>
      <sz val="12"/>
      <color theme="1" tint="4.9989318521683403E-2"/>
      <name val="Aptos Narrow"/>
      <family val="2"/>
      <charset val="162"/>
      <scheme val="minor"/>
    </font>
    <font>
      <b/>
      <sz val="11"/>
      <color theme="1" tint="4.9989318521683403E-2"/>
      <name val="Aptos Narrow"/>
      <family val="2"/>
      <charset val="162"/>
      <scheme val="minor"/>
    </font>
    <font>
      <b/>
      <sz val="12"/>
      <color rgb="FFFF0000"/>
      <name val="Aptos Narrow"/>
      <family val="2"/>
      <charset val="162"/>
      <scheme val="minor"/>
    </font>
    <font>
      <b/>
      <i/>
      <u/>
      <sz val="12"/>
      <color rgb="FFFF0000"/>
      <name val="Aptos Narrow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3">
    <xf numFmtId="0" fontId="0" fillId="0" borderId="0" xfId="0"/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2" fillId="0" borderId="0" xfId="2" applyFill="1"/>
    <xf numFmtId="164" fontId="1" fillId="0" borderId="0" xfId="1" applyNumberFormat="1" applyFill="1"/>
    <xf numFmtId="0" fontId="10" fillId="0" borderId="0" xfId="3" applyFont="1" applyFill="1"/>
    <xf numFmtId="0" fontId="9" fillId="0" borderId="0" xfId="0" applyFont="1"/>
    <xf numFmtId="164" fontId="11" fillId="0" borderId="0" xfId="2" applyNumberFormat="1" applyFont="1" applyFill="1" applyAlignment="1">
      <alignment horizontal="center" vertical="center"/>
    </xf>
    <xf numFmtId="0" fontId="3" fillId="0" borderId="0" xfId="3" applyFill="1"/>
    <xf numFmtId="0" fontId="1" fillId="0" borderId="0" xfId="1" applyFill="1"/>
    <xf numFmtId="0" fontId="13" fillId="0" borderId="0" xfId="0" applyFont="1" applyAlignment="1">
      <alignment horizontal="center"/>
    </xf>
    <xf numFmtId="0" fontId="14" fillId="0" borderId="0" xfId="2" applyFont="1" applyFill="1" applyBorder="1" applyAlignment="1">
      <alignment horizontal="center"/>
    </xf>
    <xf numFmtId="164" fontId="15" fillId="0" borderId="0" xfId="1" applyNumberFormat="1" applyFont="1" applyFill="1" applyBorder="1" applyAlignment="1">
      <alignment horizontal="center"/>
    </xf>
    <xf numFmtId="0" fontId="14" fillId="0" borderId="0" xfId="3" applyFont="1" applyFill="1" applyBorder="1" applyAlignment="1">
      <alignment horizontal="center"/>
    </xf>
    <xf numFmtId="164" fontId="14" fillId="0" borderId="0" xfId="2" applyNumberFormat="1" applyFont="1" applyFill="1" applyBorder="1" applyAlignment="1">
      <alignment horizontal="center"/>
    </xf>
    <xf numFmtId="0" fontId="16" fillId="0" borderId="0" xfId="3" applyFont="1" applyFill="1" applyBorder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7" fillId="0" borderId="0" xfId="2" applyFont="1" applyFill="1" applyBorder="1" applyAlignment="1">
      <alignment horizontal="center"/>
    </xf>
    <xf numFmtId="0" fontId="18" fillId="0" borderId="0" xfId="3" applyFont="1" applyFill="1" applyBorder="1" applyAlignment="1">
      <alignment horizontal="center"/>
    </xf>
    <xf numFmtId="164" fontId="19" fillId="0" borderId="0" xfId="2" applyNumberFormat="1" applyFont="1" applyFill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164" fontId="5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64" fontId="22" fillId="0" borderId="0" xfId="1" applyNumberFormat="1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64" fontId="22" fillId="0" borderId="0" xfId="2" applyNumberFormat="1" applyFont="1" applyFill="1" applyBorder="1" applyAlignment="1">
      <alignment horizontal="center" vertical="center"/>
    </xf>
    <xf numFmtId="0" fontId="24" fillId="5" borderId="0" xfId="0" applyFont="1" applyFill="1" applyBorder="1" applyAlignment="1">
      <alignment horizontal="center" vertical="center"/>
    </xf>
    <xf numFmtId="165" fontId="24" fillId="5" borderId="0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164" fontId="25" fillId="6" borderId="1" xfId="1" applyNumberFormat="1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164" fontId="25" fillId="0" borderId="1" xfId="1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64" fontId="25" fillId="0" borderId="1" xfId="2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165" fontId="24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4" fillId="6" borderId="1" xfId="0" applyFont="1" applyFill="1" applyBorder="1" applyAlignment="1">
      <alignment horizontal="center" vertical="center"/>
    </xf>
    <xf numFmtId="165" fontId="24" fillId="6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</cellXfs>
  <cellStyles count="7">
    <cellStyle name="İyi" xfId="1" builtinId="26"/>
    <cellStyle name="Kötü" xfId="2" builtinId="27"/>
    <cellStyle name="Normal" xfId="0" builtinId="0"/>
    <cellStyle name="Normal 2" xfId="4" xr:uid="{B842AD0A-EB39-494C-A754-6DB91ED24DC2}"/>
    <cellStyle name="Nötr" xfId="3" builtinId="28"/>
    <cellStyle name="جيد 2" xfId="5" xr:uid="{118B914A-AD7E-482D-9D4D-44C629255873}"/>
    <cellStyle name="سيئ 2" xfId="6" xr:uid="{E46C2FD1-698A-4667-A186-C0A81184B9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95BB-C432-4352-A167-03F88043EE2B}">
  <dimension ref="A1:M14"/>
  <sheetViews>
    <sheetView tabSelected="1" zoomScaleNormal="100" workbookViewId="0">
      <selection activeCell="M12" sqref="M12"/>
    </sheetView>
  </sheetViews>
  <sheetFormatPr defaultColWidth="8.875" defaultRowHeight="15" x14ac:dyDescent="0.2"/>
  <cols>
    <col min="1" max="1" width="25.828125" bestFit="1" customWidth="1"/>
    <col min="2" max="2" width="26.6328125" customWidth="1"/>
    <col min="3" max="3" width="13.98828125" bestFit="1" customWidth="1"/>
    <col min="4" max="4" width="7.53125" customWidth="1"/>
    <col min="5" max="5" width="13.71875" bestFit="1" customWidth="1"/>
    <col min="6" max="6" width="14.796875" customWidth="1"/>
    <col min="7" max="7" width="12.10546875" bestFit="1" customWidth="1"/>
    <col min="8" max="8" width="16.140625" customWidth="1"/>
    <col min="9" max="9" width="14.9296875" customWidth="1"/>
    <col min="10" max="10" width="27.0390625" customWidth="1"/>
    <col min="11" max="11" width="25.55859375" customWidth="1"/>
    <col min="12" max="12" width="16.140625" bestFit="1" customWidth="1"/>
    <col min="13" max="13" width="20.71484375" customWidth="1"/>
    <col min="14" max="14" width="17.21875" customWidth="1"/>
    <col min="15" max="15" width="19.90625" customWidth="1"/>
  </cols>
  <sheetData>
    <row r="1" spans="1:13" x14ac:dyDescent="0.2">
      <c r="M1" s="10"/>
    </row>
    <row r="2" spans="1:13" ht="21" x14ac:dyDescent="0.2">
      <c r="A2" s="52" t="s">
        <v>34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21" x14ac:dyDescent="0.3">
      <c r="B3" s="11"/>
      <c r="C3" s="12"/>
      <c r="D3" s="13"/>
      <c r="E3" s="14"/>
      <c r="F3" s="15" t="s">
        <v>16</v>
      </c>
      <c r="G3" s="16"/>
      <c r="H3" s="17"/>
    </row>
    <row r="4" spans="1:13" ht="21" x14ac:dyDescent="0.3">
      <c r="B4" s="11"/>
      <c r="C4" s="12"/>
      <c r="D4" s="13"/>
      <c r="E4" s="14"/>
      <c r="F4" s="15"/>
      <c r="G4" s="16"/>
      <c r="H4" s="17"/>
    </row>
    <row r="5" spans="1:13" x14ac:dyDescent="0.2">
      <c r="A5" s="18" t="s">
        <v>0</v>
      </c>
      <c r="B5" s="19" t="s">
        <v>1</v>
      </c>
      <c r="C5" s="20" t="s">
        <v>2</v>
      </c>
      <c r="D5" s="21" t="s">
        <v>3</v>
      </c>
      <c r="E5" s="18" t="s">
        <v>4</v>
      </c>
      <c r="F5" s="22" t="s">
        <v>5</v>
      </c>
      <c r="G5" s="23" t="s">
        <v>3</v>
      </c>
      <c r="H5" s="24" t="s">
        <v>4</v>
      </c>
      <c r="I5" s="18" t="s">
        <v>6</v>
      </c>
      <c r="J5" s="25" t="s">
        <v>17</v>
      </c>
      <c r="K5" s="18" t="s">
        <v>7</v>
      </c>
      <c r="L5" s="25" t="s">
        <v>8</v>
      </c>
      <c r="M5" s="18" t="s">
        <v>9</v>
      </c>
    </row>
    <row r="6" spans="1:13" x14ac:dyDescent="0.2">
      <c r="A6" s="18" t="s">
        <v>18</v>
      </c>
      <c r="B6" s="26" t="s">
        <v>19</v>
      </c>
      <c r="C6" s="20" t="s">
        <v>20</v>
      </c>
      <c r="D6" s="27" t="s">
        <v>21</v>
      </c>
      <c r="E6" s="18" t="s">
        <v>22</v>
      </c>
      <c r="F6" s="28" t="s">
        <v>23</v>
      </c>
      <c r="G6" s="27" t="s">
        <v>21</v>
      </c>
      <c r="H6" s="18" t="s">
        <v>22</v>
      </c>
      <c r="I6" s="18" t="s">
        <v>24</v>
      </c>
      <c r="J6" s="18" t="s">
        <v>25</v>
      </c>
      <c r="K6" s="18" t="s">
        <v>26</v>
      </c>
      <c r="L6" s="18" t="s">
        <v>27</v>
      </c>
      <c r="M6" s="18" t="s">
        <v>28</v>
      </c>
    </row>
    <row r="7" spans="1:13" ht="18" x14ac:dyDescent="0.2">
      <c r="A7" s="29" t="s">
        <v>10</v>
      </c>
      <c r="B7" s="30" t="s">
        <v>11</v>
      </c>
      <c r="C7" s="29" t="s">
        <v>12</v>
      </c>
      <c r="D7" s="30" t="s">
        <v>11</v>
      </c>
      <c r="E7" s="29" t="s">
        <v>13</v>
      </c>
      <c r="F7" s="29" t="s">
        <v>12</v>
      </c>
      <c r="G7" s="29" t="s">
        <v>13</v>
      </c>
      <c r="H7" s="29" t="s">
        <v>29</v>
      </c>
      <c r="I7" s="29" t="s">
        <v>12</v>
      </c>
      <c r="J7" s="29" t="s">
        <v>12</v>
      </c>
      <c r="K7" s="29" t="s">
        <v>14</v>
      </c>
      <c r="L7" s="29" t="s">
        <v>15</v>
      </c>
      <c r="M7" s="29" t="s">
        <v>10</v>
      </c>
    </row>
    <row r="8" spans="1:13" x14ac:dyDescent="0.2">
      <c r="M8" s="10"/>
    </row>
    <row r="9" spans="1:13" s="49" customFormat="1" ht="16.5" x14ac:dyDescent="0.2">
      <c r="A9" s="43" t="s">
        <v>35</v>
      </c>
      <c r="B9" s="43" t="s">
        <v>36</v>
      </c>
      <c r="C9" s="44">
        <v>46215</v>
      </c>
      <c r="D9" s="45">
        <v>0.5</v>
      </c>
      <c r="E9" s="45">
        <v>0.5</v>
      </c>
      <c r="F9" s="46">
        <v>46228</v>
      </c>
      <c r="G9" s="45">
        <v>0.5</v>
      </c>
      <c r="H9" s="45"/>
      <c r="I9" s="43">
        <v>39</v>
      </c>
      <c r="J9" s="47">
        <f>(F9:F136-C9:C136)+(D9:D136+E9:E136-G9:G136+H9:H136)</f>
        <v>13.5</v>
      </c>
      <c r="K9" s="48">
        <v>19</v>
      </c>
      <c r="L9" s="48">
        <v>19</v>
      </c>
      <c r="M9" s="48">
        <f>J9:J167*I9:I167*(K9:K167+L9:L172)</f>
        <v>20007</v>
      </c>
    </row>
    <row r="10" spans="1:13" ht="16.5" x14ac:dyDescent="0.2">
      <c r="A10" s="40" t="s">
        <v>35</v>
      </c>
      <c r="B10" s="40" t="s">
        <v>37</v>
      </c>
      <c r="C10" s="41">
        <v>46221</v>
      </c>
      <c r="D10" s="42">
        <v>0.5</v>
      </c>
      <c r="E10" s="42">
        <v>0.5</v>
      </c>
      <c r="F10" s="41">
        <v>46221</v>
      </c>
      <c r="G10" s="42">
        <v>0.5</v>
      </c>
      <c r="H10" s="42"/>
      <c r="I10" s="40">
        <v>39</v>
      </c>
      <c r="J10" s="50">
        <f>(F10:F137-C10:C137)+(D10:D137+E10:E137-G10:G137+H10:H137)</f>
        <v>0.5</v>
      </c>
      <c r="K10" s="51">
        <v>19</v>
      </c>
      <c r="L10" s="51">
        <v>19</v>
      </c>
      <c r="M10" s="51">
        <v>-741</v>
      </c>
    </row>
    <row r="11" spans="1:13" ht="16.5" x14ac:dyDescent="0.2">
      <c r="A11" s="34"/>
      <c r="B11" s="34"/>
      <c r="C11" s="35"/>
      <c r="D11" s="36"/>
      <c r="E11" s="36"/>
      <c r="F11" s="37"/>
      <c r="G11" s="36"/>
      <c r="H11" s="36"/>
      <c r="I11" s="34"/>
      <c r="J11" s="38"/>
      <c r="K11" s="39"/>
      <c r="L11" s="39"/>
      <c r="M11" s="39"/>
    </row>
    <row r="12" spans="1:13" ht="16.5" x14ac:dyDescent="0.2">
      <c r="A12" s="5"/>
      <c r="B12" s="5"/>
      <c r="C12" s="5"/>
      <c r="D12" s="5"/>
      <c r="E12" s="5"/>
      <c r="F12" s="5"/>
      <c r="G12" s="5"/>
      <c r="H12" s="5"/>
      <c r="I12" s="5"/>
      <c r="J12" s="1" t="s">
        <v>30</v>
      </c>
      <c r="K12" s="2" t="s">
        <v>31</v>
      </c>
      <c r="L12" s="2" t="s">
        <v>32</v>
      </c>
      <c r="M12" s="7">
        <f>SUM(M9:M10)</f>
        <v>19266</v>
      </c>
    </row>
    <row r="13" spans="1:13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6"/>
      <c r="L13" s="6" t="s">
        <v>33</v>
      </c>
      <c r="M13" s="8">
        <f>M12/3.73</f>
        <v>5165.1474530831101</v>
      </c>
    </row>
    <row r="14" spans="1:13" x14ac:dyDescent="0.2">
      <c r="A14" s="3"/>
      <c r="B14" s="3"/>
      <c r="C14" s="31"/>
      <c r="D14" s="32"/>
      <c r="E14" s="32"/>
      <c r="F14" s="33"/>
      <c r="G14" s="32"/>
      <c r="H14" s="3"/>
      <c r="I14" s="3"/>
      <c r="J14" s="3"/>
      <c r="K14" s="4"/>
      <c r="L14" s="4"/>
      <c r="M14" s="9"/>
    </row>
  </sheetData>
  <mergeCells count="1">
    <mergeCell ref="A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ŞABLON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brk</dc:creator>
  <cp:lastModifiedBy>Alihan Berik</cp:lastModifiedBy>
  <dcterms:created xsi:type="dcterms:W3CDTF">2024-11-09T12:47:44Z</dcterms:created>
  <dcterms:modified xsi:type="dcterms:W3CDTF">2026-06-01T14:46:36Z</dcterms:modified>
</cp:coreProperties>
</file>